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ge &amp; Instructions" sheetId="1" state="visible" r:id="rId1"/>
    <sheet xmlns:r="http://schemas.openxmlformats.org/officeDocument/2006/relationships" name="NJ &amp; MA Pro-Rata" sheetId="2" state="visible" r:id="rId2"/>
    <sheet xmlns:r="http://schemas.openxmlformats.org/officeDocument/2006/relationships" name="PA Cost Recove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001F2937"/>
      <sz val="16"/>
    </font>
    <font>
      <name val="Segoe UI"/>
      <b val="1"/>
      <color rgb="001F2937"/>
      <sz val="12"/>
    </font>
    <font>
      <name val="Segoe UI"/>
      <color rgb="00374151"/>
      <sz val="10"/>
    </font>
    <font>
      <name val="Segoe UI"/>
      <b val="1"/>
      <color rgb="00FFFFFF"/>
      <sz val="10"/>
    </font>
    <font>
      <name val="Segoe UI"/>
      <i val="1"/>
      <color rgb="006B7280"/>
      <sz val="9"/>
    </font>
    <font>
      <name val="Segoe UI"/>
      <b val="1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  <fill>
      <patternFill patternType="solid">
        <fgColor rgb="00E0E7FF"/>
        <bgColor rgb="00E0E7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3" fillId="0" borderId="1" pivotButton="0" quotePrefix="0" xfId="0"/>
    <xf numFmtId="0" fontId="3" fillId="3" borderId="1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164" fontId="3" fillId="0" borderId="1" pivotButton="0" quotePrefix="0" xfId="0"/>
    <xf numFmtId="164" fontId="6" fillId="4" borderId="1" pivotButton="0" quotePrefix="0" xfId="0"/>
    <xf numFmtId="164" fontId="6" fillId="0" borderId="1" pivotButton="0" quotePrefix="0" xfId="0"/>
    <xf numFmtId="16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0" customWidth="1" min="3" max="3"/>
    <col width="60" customWidth="1" min="4" max="4"/>
  </cols>
  <sheetData>
    <row r="1" ht="30" customHeight="1">
      <c r="A1" s="1" t="inlineStr">
        <is>
          <t>Retirement Basis Recovery Triage Worksheet</t>
        </is>
      </c>
    </row>
    <row r="2"/>
    <row r="3">
      <c r="A3" s="2" t="inlineStr">
        <is>
          <t>Instructions:</t>
        </is>
      </c>
    </row>
    <row r="4" ht="20" customHeight="1">
      <c r="A4" s="3" t="inlineStr">
        <is>
          <t>1. Use this workbook to manually reconstruct and track your retirement tax basis for state income tax purposes (NJ, PA, MA).</t>
        </is>
      </c>
    </row>
    <row r="5" ht="20" customHeight="1">
      <c r="A5" s="3" t="inlineStr">
        <is>
          <t>2. Locate your historical contribution and distribution records using the Document Triage Checklist below.</t>
        </is>
      </c>
    </row>
    <row r="6" ht="20" customHeight="1">
      <c r="A6" s="3" t="inlineStr">
        <is>
          <t>3. Select the appropriate tab for your state of residency (NJ/MA for pro-rata, PA for cost recovery/FIFO).</t>
        </is>
      </c>
    </row>
    <row r="7" ht="20" customHeight="1">
      <c r="A7" s="3" t="inlineStr">
        <is>
          <t>4. Fill in the 'Year', 'Annual Contributions', 'Total Distributions', and 'Dec 31 Account Value' columns.</t>
        </is>
      </c>
    </row>
    <row r="8" ht="20" customHeight="1">
      <c r="A8" s="3" t="inlineStr">
        <is>
          <t>5. The Excel formulas will automatically compute the 'Excludable' (tax-free) and 'Taxable' portions, and roll forward your 'Ending Basis' to the next year.</t>
        </is>
      </c>
    </row>
    <row r="9" ht="20" customHeight="1">
      <c r="A9" s="3" t="inlineStr">
        <is>
          <t>6. Retain this spreadsheet and your supporting documents for your permanent tax files. Do not submit this to the state unless audited.</t>
        </is>
      </c>
    </row>
    <row r="10"/>
    <row r="11">
      <c r="A11" s="2" t="inlineStr">
        <is>
          <t>Document Triage Checklist:</t>
        </is>
      </c>
    </row>
    <row r="12"/>
    <row r="13" ht="25" customHeight="1">
      <c r="A13" s="4" t="inlineStr">
        <is>
          <t>Doc Type</t>
        </is>
      </c>
      <c r="B13" s="4" t="inlineStr">
        <is>
          <t>Key Target Data Field</t>
        </is>
      </c>
      <c r="C13" s="4" t="inlineStr">
        <is>
          <t>Where to Find It</t>
        </is>
      </c>
      <c r="D13" s="4" t="inlineStr">
        <is>
          <t>Triage Purpose</t>
        </is>
      </c>
    </row>
    <row r="14" ht="22" customHeight="1">
      <c r="A14" s="5" t="inlineStr">
        <is>
          <t>Form W-2</t>
        </is>
      </c>
      <c r="B14" s="5" t="inlineStr">
        <is>
          <t>Box 16 (State Wages) vs Box 1 (Fed Wages)</t>
        </is>
      </c>
      <c r="C14" s="5" t="inlineStr">
        <is>
          <t>Compare State vs Federal wages on annual W-2 forms</t>
        </is>
      </c>
      <c r="D14" s="5" t="inlineStr">
        <is>
          <t>NJ/PA tax 403b/457 contributions. Box 16 - Box 1 = basis added.</t>
        </is>
      </c>
    </row>
    <row r="15" ht="22" customHeight="1">
      <c r="A15" s="6" t="inlineStr">
        <is>
          <t>Form 5498</t>
        </is>
      </c>
      <c r="B15" s="6" t="inlineStr">
        <is>
          <t>Box 1 (Traditional IRA contributions)</t>
        </is>
      </c>
      <c r="C15" s="6" t="inlineStr">
        <is>
          <t>Issued annually by the account custodian (Fidelity, Vanguard, etc.)</t>
        </is>
      </c>
      <c r="D15" s="6" t="inlineStr">
        <is>
          <t>Establishes total IRA contributions made for the year.</t>
        </is>
      </c>
    </row>
    <row r="16" ht="22" customHeight="1">
      <c r="A16" s="5" t="inlineStr">
        <is>
          <t>Form 1099-R</t>
        </is>
      </c>
      <c r="B16" s="5" t="inlineStr">
        <is>
          <t>Box 1 (Gross Distribution) &amp; Box 7 (Code)</t>
        </is>
      </c>
      <c r="C16" s="5" t="inlineStr">
        <is>
          <t>Issued by custodian for any withdrawal during the year</t>
        </is>
      </c>
      <c r="D16" s="5" t="inlineStr">
        <is>
          <t>Determines distribution amount and taxability (e.g. Code 1/2/7).</t>
        </is>
      </c>
    </row>
    <row r="17" ht="22" customHeight="1">
      <c r="A17" s="6" t="inlineStr">
        <is>
          <t>IRS Transcript</t>
        </is>
      </c>
      <c r="B17" s="6" t="inlineStr">
        <is>
          <t>Medicare Wages (Box 5) vs Box 1 Wages</t>
        </is>
      </c>
      <c r="C17" s="6" t="inlineStr">
        <is>
          <t>Pull 'Wage &amp; Income Transcripts' from IRS.gov (10-yr history online)</t>
        </is>
      </c>
      <c r="D17" s="6" t="inlineStr">
        <is>
          <t>Medicare wages serve as a proxy for state-taxable wages if W-2 is lost.</t>
        </is>
      </c>
    </row>
    <row r="18" ht="22" customHeight="1">
      <c r="A18" s="5" t="inlineStr">
        <is>
          <t>Broker Ledger</t>
        </is>
      </c>
      <c r="B18" s="5" t="inlineStr">
        <is>
          <t>Participant Lifetime Contribution History</t>
        </is>
      </c>
      <c r="C18" s="5" t="inlineStr">
        <is>
          <t>Request from custodian customer service</t>
        </is>
      </c>
      <c r="D18" s="5" t="inlineStr">
        <is>
          <t>Identifies lifetime pre-tax employee deferrals (100% basis in NJ/PA).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26" customWidth="1" min="4" max="4"/>
    <col width="22" customWidth="1" min="5" max="5"/>
    <col width="23" customWidth="1" min="6" max="6"/>
    <col width="65" customWidth="1" min="7" max="7"/>
    <col width="19" customWidth="1" min="8" max="8"/>
    <col width="15" customWidth="1" min="9" max="9"/>
  </cols>
  <sheetData>
    <row r="1" ht="30" customHeight="1">
      <c r="A1" s="1" t="inlineStr">
        <is>
          <t>New Jersey &amp; Massachusetts Pro-Rata Basis Roll-Forward (Worksheet C)</t>
        </is>
      </c>
    </row>
    <row r="2"/>
    <row r="3">
      <c r="A3" s="7" t="inlineStr">
        <is>
          <t>Formula: Excludable Portion = Distribution * (Basis / (Dec 31 Balance + Distribution))</t>
        </is>
      </c>
    </row>
    <row r="4"/>
    <row r="5" ht="28" customHeight="1">
      <c r="A5" s="8" t="inlineStr">
        <is>
          <t>Year</t>
        </is>
      </c>
      <c r="B5" s="9" t="inlineStr">
        <is>
          <t>Starting Basis</t>
        </is>
      </c>
      <c r="C5" s="9" t="inlineStr">
        <is>
          <t>Annual Contributions</t>
        </is>
      </c>
      <c r="D5" s="9" t="inlineStr">
        <is>
          <t>Basis Before Withdrawal</t>
        </is>
      </c>
      <c r="E5" s="9" t="inlineStr">
        <is>
          <t>Total Distributions</t>
        </is>
      </c>
      <c r="F5" s="9" t="inlineStr">
        <is>
          <t>Dec 31 Account Value</t>
        </is>
      </c>
      <c r="G5" s="9" t="inlineStr">
        <is>
          <t>Excludable Portion (Basis Return)</t>
        </is>
      </c>
      <c r="H5" s="9" t="inlineStr">
        <is>
          <t>Taxable Portion</t>
        </is>
      </c>
      <c r="I5" s="9" t="inlineStr">
        <is>
          <t>Ending Basis</t>
        </is>
      </c>
    </row>
    <row r="6" ht="22" customHeight="1">
      <c r="A6" s="10" t="n">
        <v>2010</v>
      </c>
      <c r="B6" s="11" t="n">
        <v>0</v>
      </c>
      <c r="C6" s="11" t="n">
        <v>0</v>
      </c>
      <c r="D6" s="11">
        <f>B6+C6</f>
        <v/>
      </c>
      <c r="E6" s="11" t="n">
        <v>0</v>
      </c>
      <c r="F6" s="11" t="n">
        <v>0</v>
      </c>
      <c r="G6" s="12">
        <f>IF((F6+E6)&gt;0, ROUND(E6*MIN(D6, F6+E6)/(F6+E6), 2), 0)</f>
        <v/>
      </c>
      <c r="H6" s="11">
        <f>MAX(0, E6-G6)</f>
        <v/>
      </c>
      <c r="I6" s="13">
        <f>D6-G6</f>
        <v/>
      </c>
    </row>
    <row r="7" ht="22" customHeight="1">
      <c r="A7" s="10" t="n">
        <v>2011</v>
      </c>
      <c r="B7" s="14">
        <f>I6</f>
        <v/>
      </c>
      <c r="C7" s="14" t="n">
        <v>0</v>
      </c>
      <c r="D7" s="14">
        <f>B7+C7</f>
        <v/>
      </c>
      <c r="E7" s="14" t="n">
        <v>0</v>
      </c>
      <c r="F7" s="14" t="n">
        <v>0</v>
      </c>
      <c r="G7" s="12">
        <f>IF((F7+E7)&gt;0, ROUND(E7*MIN(D7, F7+E7)/(F7+E7), 2), 0)</f>
        <v/>
      </c>
      <c r="H7" s="14">
        <f>MAX(0, E7-G7)</f>
        <v/>
      </c>
      <c r="I7" s="13">
        <f>D7-G7</f>
        <v/>
      </c>
    </row>
    <row r="8" ht="22" customHeight="1">
      <c r="A8" s="10" t="n">
        <v>2012</v>
      </c>
      <c r="B8" s="11">
        <f>I7</f>
        <v/>
      </c>
      <c r="C8" s="11" t="n">
        <v>0</v>
      </c>
      <c r="D8" s="11">
        <f>B8+C8</f>
        <v/>
      </c>
      <c r="E8" s="11" t="n">
        <v>0</v>
      </c>
      <c r="F8" s="11" t="n">
        <v>0</v>
      </c>
      <c r="G8" s="12">
        <f>IF((F8+E8)&gt;0, ROUND(E8*MIN(D8, F8+E8)/(F8+E8), 2), 0)</f>
        <v/>
      </c>
      <c r="H8" s="11">
        <f>MAX(0, E8-G8)</f>
        <v/>
      </c>
      <c r="I8" s="13">
        <f>D8-G8</f>
        <v/>
      </c>
    </row>
    <row r="9" ht="22" customHeight="1">
      <c r="A9" s="10" t="n">
        <v>2013</v>
      </c>
      <c r="B9" s="14">
        <f>I8</f>
        <v/>
      </c>
      <c r="C9" s="14" t="n">
        <v>0</v>
      </c>
      <c r="D9" s="14">
        <f>B9+C9</f>
        <v/>
      </c>
      <c r="E9" s="14" t="n">
        <v>0</v>
      </c>
      <c r="F9" s="14" t="n">
        <v>0</v>
      </c>
      <c r="G9" s="12">
        <f>IF((F9+E9)&gt;0, ROUND(E9*MIN(D9, F9+E9)/(F9+E9), 2), 0)</f>
        <v/>
      </c>
      <c r="H9" s="14">
        <f>MAX(0, E9-G9)</f>
        <v/>
      </c>
      <c r="I9" s="13">
        <f>D9-G9</f>
        <v/>
      </c>
    </row>
    <row r="10" ht="22" customHeight="1">
      <c r="A10" s="10" t="n">
        <v>2014</v>
      </c>
      <c r="B10" s="11">
        <f>I9</f>
        <v/>
      </c>
      <c r="C10" s="11" t="n">
        <v>0</v>
      </c>
      <c r="D10" s="11">
        <f>B10+C10</f>
        <v/>
      </c>
      <c r="E10" s="11" t="n">
        <v>0</v>
      </c>
      <c r="F10" s="11" t="n">
        <v>0</v>
      </c>
      <c r="G10" s="12">
        <f>IF((F10+E10)&gt;0, ROUND(E10*MIN(D10, F10+E10)/(F10+E10), 2), 0)</f>
        <v/>
      </c>
      <c r="H10" s="11">
        <f>MAX(0, E10-G10)</f>
        <v/>
      </c>
      <c r="I10" s="13">
        <f>D10-G10</f>
        <v/>
      </c>
    </row>
    <row r="11" ht="22" customHeight="1">
      <c r="A11" s="10" t="n">
        <v>2015</v>
      </c>
      <c r="B11" s="14">
        <f>I10</f>
        <v/>
      </c>
      <c r="C11" s="14" t="n">
        <v>0</v>
      </c>
      <c r="D11" s="14">
        <f>B11+C11</f>
        <v/>
      </c>
      <c r="E11" s="14" t="n">
        <v>0</v>
      </c>
      <c r="F11" s="14" t="n">
        <v>0</v>
      </c>
      <c r="G11" s="12">
        <f>IF((F11+E11)&gt;0, ROUND(E11*MIN(D11, F11+E11)/(F11+E11), 2), 0)</f>
        <v/>
      </c>
      <c r="H11" s="14">
        <f>MAX(0, E11-G11)</f>
        <v/>
      </c>
      <c r="I11" s="13">
        <f>D11-G11</f>
        <v/>
      </c>
    </row>
    <row r="12" ht="22" customHeight="1">
      <c r="A12" s="10" t="n">
        <v>2016</v>
      </c>
      <c r="B12" s="11">
        <f>I11</f>
        <v/>
      </c>
      <c r="C12" s="11" t="n">
        <v>0</v>
      </c>
      <c r="D12" s="11">
        <f>B12+C12</f>
        <v/>
      </c>
      <c r="E12" s="11" t="n">
        <v>0</v>
      </c>
      <c r="F12" s="11" t="n">
        <v>0</v>
      </c>
      <c r="G12" s="12">
        <f>IF((F12+E12)&gt;0, ROUND(E12*MIN(D12, F12+E12)/(F12+E12), 2), 0)</f>
        <v/>
      </c>
      <c r="H12" s="11">
        <f>MAX(0, E12-G12)</f>
        <v/>
      </c>
      <c r="I12" s="13">
        <f>D12-G12</f>
        <v/>
      </c>
    </row>
    <row r="13" ht="22" customHeight="1">
      <c r="A13" s="10" t="n">
        <v>2017</v>
      </c>
      <c r="B13" s="14">
        <f>I12</f>
        <v/>
      </c>
      <c r="C13" s="14" t="n">
        <v>0</v>
      </c>
      <c r="D13" s="14">
        <f>B13+C13</f>
        <v/>
      </c>
      <c r="E13" s="14" t="n">
        <v>0</v>
      </c>
      <c r="F13" s="14" t="n">
        <v>0</v>
      </c>
      <c r="G13" s="12">
        <f>IF((F13+E13)&gt;0, ROUND(E13*MIN(D13, F13+E13)/(F13+E13), 2), 0)</f>
        <v/>
      </c>
      <c r="H13" s="14">
        <f>MAX(0, E13-G13)</f>
        <v/>
      </c>
      <c r="I13" s="13">
        <f>D13-G13</f>
        <v/>
      </c>
    </row>
    <row r="14" ht="22" customHeight="1">
      <c r="A14" s="10" t="n">
        <v>2018</v>
      </c>
      <c r="B14" s="11">
        <f>I13</f>
        <v/>
      </c>
      <c r="C14" s="11" t="n">
        <v>0</v>
      </c>
      <c r="D14" s="11">
        <f>B14+C14</f>
        <v/>
      </c>
      <c r="E14" s="11" t="n">
        <v>0</v>
      </c>
      <c r="F14" s="11" t="n">
        <v>0</v>
      </c>
      <c r="G14" s="12">
        <f>IF((F14+E14)&gt;0, ROUND(E14*MIN(D14, F14+E14)/(F14+E14), 2), 0)</f>
        <v/>
      </c>
      <c r="H14" s="11">
        <f>MAX(0, E14-G14)</f>
        <v/>
      </c>
      <c r="I14" s="13">
        <f>D14-G14</f>
        <v/>
      </c>
    </row>
    <row r="15" ht="22" customHeight="1">
      <c r="A15" s="10" t="n">
        <v>2019</v>
      </c>
      <c r="B15" s="14">
        <f>I14</f>
        <v/>
      </c>
      <c r="C15" s="14" t="n">
        <v>0</v>
      </c>
      <c r="D15" s="14">
        <f>B15+C15</f>
        <v/>
      </c>
      <c r="E15" s="14" t="n">
        <v>0</v>
      </c>
      <c r="F15" s="14" t="n">
        <v>0</v>
      </c>
      <c r="G15" s="12">
        <f>IF((F15+E15)&gt;0, ROUND(E15*MIN(D15, F15+E15)/(F15+E15), 2), 0)</f>
        <v/>
      </c>
      <c r="H15" s="14">
        <f>MAX(0, E15-G15)</f>
        <v/>
      </c>
      <c r="I15" s="13">
        <f>D15-G15</f>
        <v/>
      </c>
    </row>
    <row r="16" ht="22" customHeight="1">
      <c r="A16" s="10" t="n">
        <v>2020</v>
      </c>
      <c r="B16" s="11">
        <f>I15</f>
        <v/>
      </c>
      <c r="C16" s="11" t="n">
        <v>0</v>
      </c>
      <c r="D16" s="11">
        <f>B16+C16</f>
        <v/>
      </c>
      <c r="E16" s="11" t="n">
        <v>0</v>
      </c>
      <c r="F16" s="11" t="n">
        <v>0</v>
      </c>
      <c r="G16" s="12">
        <f>IF((F16+E16)&gt;0, ROUND(E16*MIN(D16, F16+E16)/(F16+E16), 2), 0)</f>
        <v/>
      </c>
      <c r="H16" s="11">
        <f>MAX(0, E16-G16)</f>
        <v/>
      </c>
      <c r="I16" s="13">
        <f>D16-G16</f>
        <v/>
      </c>
    </row>
    <row r="17" ht="22" customHeight="1">
      <c r="A17" s="10" t="n">
        <v>2021</v>
      </c>
      <c r="B17" s="14">
        <f>I16</f>
        <v/>
      </c>
      <c r="C17" s="14" t="n">
        <v>0</v>
      </c>
      <c r="D17" s="14">
        <f>B17+C17</f>
        <v/>
      </c>
      <c r="E17" s="14" t="n">
        <v>0</v>
      </c>
      <c r="F17" s="14" t="n">
        <v>0</v>
      </c>
      <c r="G17" s="12">
        <f>IF((F17+E17)&gt;0, ROUND(E17*MIN(D17, F17+E17)/(F17+E17), 2), 0)</f>
        <v/>
      </c>
      <c r="H17" s="14">
        <f>MAX(0, E17-G17)</f>
        <v/>
      </c>
      <c r="I17" s="13">
        <f>D17-G17</f>
        <v/>
      </c>
    </row>
    <row r="18" ht="22" customHeight="1">
      <c r="A18" s="10" t="n">
        <v>2022</v>
      </c>
      <c r="B18" s="11">
        <f>I17</f>
        <v/>
      </c>
      <c r="C18" s="11" t="n">
        <v>0</v>
      </c>
      <c r="D18" s="11">
        <f>B18+C18</f>
        <v/>
      </c>
      <c r="E18" s="11" t="n">
        <v>0</v>
      </c>
      <c r="F18" s="11" t="n">
        <v>0</v>
      </c>
      <c r="G18" s="12">
        <f>IF((F18+E18)&gt;0, ROUND(E18*MIN(D18, F18+E18)/(F18+E18), 2), 0)</f>
        <v/>
      </c>
      <c r="H18" s="11">
        <f>MAX(0, E18-G18)</f>
        <v/>
      </c>
      <c r="I18" s="13">
        <f>D18-G18</f>
        <v/>
      </c>
    </row>
    <row r="19" ht="22" customHeight="1">
      <c r="A19" s="10" t="n">
        <v>2023</v>
      </c>
      <c r="B19" s="14">
        <f>I18</f>
        <v/>
      </c>
      <c r="C19" s="14" t="n">
        <v>0</v>
      </c>
      <c r="D19" s="14">
        <f>B19+C19</f>
        <v/>
      </c>
      <c r="E19" s="14" t="n">
        <v>0</v>
      </c>
      <c r="F19" s="14" t="n">
        <v>0</v>
      </c>
      <c r="G19" s="12">
        <f>IF((F19+E19)&gt;0, ROUND(E19*MIN(D19, F19+E19)/(F19+E19), 2), 0)</f>
        <v/>
      </c>
      <c r="H19" s="14">
        <f>MAX(0, E19-G19)</f>
        <v/>
      </c>
      <c r="I19" s="13">
        <f>D19-G19</f>
        <v/>
      </c>
    </row>
    <row r="20" ht="22" customHeight="1">
      <c r="A20" s="10" t="n">
        <v>2024</v>
      </c>
      <c r="B20" s="11">
        <f>I19</f>
        <v/>
      </c>
      <c r="C20" s="11" t="n">
        <v>0</v>
      </c>
      <c r="D20" s="11">
        <f>B20+C20</f>
        <v/>
      </c>
      <c r="E20" s="11" t="n">
        <v>0</v>
      </c>
      <c r="F20" s="11" t="n">
        <v>0</v>
      </c>
      <c r="G20" s="12">
        <f>IF((F20+E20)&gt;0, ROUND(E20*MIN(D20, F20+E20)/(F20+E20), 2), 0)</f>
        <v/>
      </c>
      <c r="H20" s="11">
        <f>MAX(0, E20-G20)</f>
        <v/>
      </c>
      <c r="I20" s="13">
        <f>D20-G20</f>
        <v/>
      </c>
    </row>
    <row r="21" ht="22" customHeight="1">
      <c r="A21" s="10" t="n">
        <v>2025</v>
      </c>
      <c r="B21" s="14">
        <f>I20</f>
        <v/>
      </c>
      <c r="C21" s="14" t="n">
        <v>0</v>
      </c>
      <c r="D21" s="14">
        <f>B21+C21</f>
        <v/>
      </c>
      <c r="E21" s="14" t="n">
        <v>0</v>
      </c>
      <c r="F21" s="14" t="n">
        <v>0</v>
      </c>
      <c r="G21" s="12">
        <f>IF((F21+E21)&gt;0, ROUND(E21*MIN(D21, F21+E21)/(F21+E21), 2), 0)</f>
        <v/>
      </c>
      <c r="H21" s="14">
        <f>MAX(0, E21-G21)</f>
        <v/>
      </c>
      <c r="I21" s="13">
        <f>D21-G21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26" customWidth="1" min="4" max="4"/>
    <col width="22" customWidth="1" min="5" max="5"/>
    <col width="41" customWidth="1" min="6" max="6"/>
    <col width="19" customWidth="1" min="7" max="7"/>
    <col width="15" customWidth="1" min="8" max="8"/>
  </cols>
  <sheetData>
    <row r="1" ht="30" customHeight="1">
      <c r="A1" s="1" t="inlineStr">
        <is>
          <t>Pennsylvania Cost Recovery Basis Roll-Forward (FIFO)</t>
        </is>
      </c>
    </row>
    <row r="2"/>
    <row r="3">
      <c r="A3" s="7" t="inlineStr">
        <is>
          <t>Formula: Excludable Portion = Min(Basis Before Withdrawal, Distribution) [Qualified Distributions at 59.5+ are 100% Tax-Free]</t>
        </is>
      </c>
    </row>
    <row r="4"/>
    <row r="5" ht="28" customHeight="1">
      <c r="A5" s="8" t="inlineStr">
        <is>
          <t>Year</t>
        </is>
      </c>
      <c r="B5" s="9" t="inlineStr">
        <is>
          <t>Starting Basis</t>
        </is>
      </c>
      <c r="C5" s="9" t="inlineStr">
        <is>
          <t>Annual Contributions</t>
        </is>
      </c>
      <c r="D5" s="9" t="inlineStr">
        <is>
          <t>Basis Before Withdrawal</t>
        </is>
      </c>
      <c r="E5" s="9" t="inlineStr">
        <is>
          <t>Total Distributions</t>
        </is>
      </c>
      <c r="F5" s="9" t="inlineStr">
        <is>
          <t>Excludable Portion (FIFO Basis Return)</t>
        </is>
      </c>
      <c r="G5" s="9" t="inlineStr">
        <is>
          <t>Taxable Portion</t>
        </is>
      </c>
      <c r="H5" s="9" t="inlineStr">
        <is>
          <t>Ending Basis</t>
        </is>
      </c>
    </row>
    <row r="6" ht="22" customHeight="1">
      <c r="A6" s="10" t="n">
        <v>2010</v>
      </c>
      <c r="B6" s="11" t="n">
        <v>0</v>
      </c>
      <c r="C6" s="11" t="n">
        <v>0</v>
      </c>
      <c r="D6" s="11">
        <f>B6+C6</f>
        <v/>
      </c>
      <c r="E6" s="11" t="n">
        <v>0</v>
      </c>
      <c r="F6" s="12">
        <f>ROUND(MIN(D6, E6), 2)</f>
        <v/>
      </c>
      <c r="G6" s="11">
        <f>MAX(0, E6-F6)</f>
        <v/>
      </c>
      <c r="H6" s="13">
        <f>D6-F6</f>
        <v/>
      </c>
    </row>
    <row r="7" ht="22" customHeight="1">
      <c r="A7" s="10" t="n">
        <v>2011</v>
      </c>
      <c r="B7" s="14">
        <f>H6</f>
        <v/>
      </c>
      <c r="C7" s="14" t="n">
        <v>0</v>
      </c>
      <c r="D7" s="14">
        <f>B7+C7</f>
        <v/>
      </c>
      <c r="E7" s="11" t="n">
        <v>0</v>
      </c>
      <c r="F7" s="12">
        <f>ROUND(MIN(D7, E7), 2)</f>
        <v/>
      </c>
      <c r="G7" s="14">
        <f>MAX(0, E7-F7)</f>
        <v/>
      </c>
      <c r="H7" s="13">
        <f>D7-F7</f>
        <v/>
      </c>
    </row>
    <row r="8" ht="22" customHeight="1">
      <c r="A8" s="10" t="n">
        <v>2012</v>
      </c>
      <c r="B8" s="11">
        <f>H7</f>
        <v/>
      </c>
      <c r="C8" s="11" t="n">
        <v>0</v>
      </c>
      <c r="D8" s="11">
        <f>B8+C8</f>
        <v/>
      </c>
      <c r="E8" s="11" t="n">
        <v>0</v>
      </c>
      <c r="F8" s="12">
        <f>ROUND(MIN(D8, E8), 2)</f>
        <v/>
      </c>
      <c r="G8" s="11">
        <f>MAX(0, E8-F8)</f>
        <v/>
      </c>
      <c r="H8" s="13">
        <f>D8-F8</f>
        <v/>
      </c>
    </row>
    <row r="9" ht="22" customHeight="1">
      <c r="A9" s="10" t="n">
        <v>2013</v>
      </c>
      <c r="B9" s="14">
        <f>H8</f>
        <v/>
      </c>
      <c r="C9" s="14" t="n">
        <v>0</v>
      </c>
      <c r="D9" s="14">
        <f>B9+C9</f>
        <v/>
      </c>
      <c r="E9" s="11" t="n">
        <v>0</v>
      </c>
      <c r="F9" s="12">
        <f>ROUND(MIN(D9, E9), 2)</f>
        <v/>
      </c>
      <c r="G9" s="14">
        <f>MAX(0, E9-F9)</f>
        <v/>
      </c>
      <c r="H9" s="13">
        <f>D9-F9</f>
        <v/>
      </c>
    </row>
    <row r="10" ht="22" customHeight="1">
      <c r="A10" s="10" t="n">
        <v>2014</v>
      </c>
      <c r="B10" s="11">
        <f>H9</f>
        <v/>
      </c>
      <c r="C10" s="11" t="n">
        <v>0</v>
      </c>
      <c r="D10" s="11">
        <f>B10+C10</f>
        <v/>
      </c>
      <c r="E10" s="11" t="n">
        <v>0</v>
      </c>
      <c r="F10" s="12">
        <f>ROUND(MIN(D10, E10), 2)</f>
        <v/>
      </c>
      <c r="G10" s="11">
        <f>MAX(0, E10-F10)</f>
        <v/>
      </c>
      <c r="H10" s="13">
        <f>D10-F10</f>
        <v/>
      </c>
    </row>
    <row r="11" ht="22" customHeight="1">
      <c r="A11" s="10" t="n">
        <v>2015</v>
      </c>
      <c r="B11" s="14">
        <f>H10</f>
        <v/>
      </c>
      <c r="C11" s="14" t="n">
        <v>0</v>
      </c>
      <c r="D11" s="14">
        <f>B11+C11</f>
        <v/>
      </c>
      <c r="E11" s="11" t="n">
        <v>0</v>
      </c>
      <c r="F11" s="12">
        <f>ROUND(MIN(D11, E11), 2)</f>
        <v/>
      </c>
      <c r="G11" s="14">
        <f>MAX(0, E11-F11)</f>
        <v/>
      </c>
      <c r="H11" s="13">
        <f>D11-F11</f>
        <v/>
      </c>
    </row>
    <row r="12" ht="22" customHeight="1">
      <c r="A12" s="10" t="n">
        <v>2016</v>
      </c>
      <c r="B12" s="11">
        <f>H11</f>
        <v/>
      </c>
      <c r="C12" s="11" t="n">
        <v>0</v>
      </c>
      <c r="D12" s="11">
        <f>B12+C12</f>
        <v/>
      </c>
      <c r="E12" s="11" t="n">
        <v>0</v>
      </c>
      <c r="F12" s="12">
        <f>ROUND(MIN(D12, E12), 2)</f>
        <v/>
      </c>
      <c r="G12" s="11">
        <f>MAX(0, E12-F12)</f>
        <v/>
      </c>
      <c r="H12" s="13">
        <f>D12-F12</f>
        <v/>
      </c>
    </row>
    <row r="13" ht="22" customHeight="1">
      <c r="A13" s="10" t="n">
        <v>2017</v>
      </c>
      <c r="B13" s="14">
        <f>H12</f>
        <v/>
      </c>
      <c r="C13" s="14" t="n">
        <v>0</v>
      </c>
      <c r="D13" s="14">
        <f>B13+C13</f>
        <v/>
      </c>
      <c r="E13" s="11" t="n">
        <v>0</v>
      </c>
      <c r="F13" s="12">
        <f>ROUND(MIN(D13, E13), 2)</f>
        <v/>
      </c>
      <c r="G13" s="14">
        <f>MAX(0, E13-F13)</f>
        <v/>
      </c>
      <c r="H13" s="13">
        <f>D13-F13</f>
        <v/>
      </c>
    </row>
    <row r="14" ht="22" customHeight="1">
      <c r="A14" s="10" t="n">
        <v>2018</v>
      </c>
      <c r="B14" s="11">
        <f>H13</f>
        <v/>
      </c>
      <c r="C14" s="11" t="n">
        <v>0</v>
      </c>
      <c r="D14" s="11">
        <f>B14+C14</f>
        <v/>
      </c>
      <c r="E14" s="11" t="n">
        <v>0</v>
      </c>
      <c r="F14" s="12">
        <f>ROUND(MIN(D14, E14), 2)</f>
        <v/>
      </c>
      <c r="G14" s="11">
        <f>MAX(0, E14-F14)</f>
        <v/>
      </c>
      <c r="H14" s="13">
        <f>D14-F14</f>
        <v/>
      </c>
    </row>
    <row r="15" ht="22" customHeight="1">
      <c r="A15" s="10" t="n">
        <v>2019</v>
      </c>
      <c r="B15" s="14">
        <f>H14</f>
        <v/>
      </c>
      <c r="C15" s="14" t="n">
        <v>0</v>
      </c>
      <c r="D15" s="14">
        <f>B15+C15</f>
        <v/>
      </c>
      <c r="E15" s="11" t="n">
        <v>0</v>
      </c>
      <c r="F15" s="12">
        <f>ROUND(MIN(D15, E15), 2)</f>
        <v/>
      </c>
      <c r="G15" s="14">
        <f>MAX(0, E15-F15)</f>
        <v/>
      </c>
      <c r="H15" s="13">
        <f>D15-F15</f>
        <v/>
      </c>
    </row>
    <row r="16" ht="22" customHeight="1">
      <c r="A16" s="10" t="n">
        <v>2020</v>
      </c>
      <c r="B16" s="11">
        <f>H15</f>
        <v/>
      </c>
      <c r="C16" s="11" t="n">
        <v>0</v>
      </c>
      <c r="D16" s="11">
        <f>B16+C16</f>
        <v/>
      </c>
      <c r="E16" s="11" t="n">
        <v>0</v>
      </c>
      <c r="F16" s="12">
        <f>ROUND(MIN(D16, E16), 2)</f>
        <v/>
      </c>
      <c r="G16" s="11">
        <f>MAX(0, E16-F16)</f>
        <v/>
      </c>
      <c r="H16" s="13">
        <f>D16-F16</f>
        <v/>
      </c>
    </row>
    <row r="17" ht="22" customHeight="1">
      <c r="A17" s="10" t="n">
        <v>2021</v>
      </c>
      <c r="B17" s="14">
        <f>H16</f>
        <v/>
      </c>
      <c r="C17" s="14" t="n">
        <v>0</v>
      </c>
      <c r="D17" s="14">
        <f>B17+C17</f>
        <v/>
      </c>
      <c r="E17" s="11" t="n">
        <v>0</v>
      </c>
      <c r="F17" s="12">
        <f>ROUND(MIN(D17, E17), 2)</f>
        <v/>
      </c>
      <c r="G17" s="14">
        <f>MAX(0, E17-F17)</f>
        <v/>
      </c>
      <c r="H17" s="13">
        <f>D17-F17</f>
        <v/>
      </c>
    </row>
    <row r="18" ht="22" customHeight="1">
      <c r="A18" s="10" t="n">
        <v>2022</v>
      </c>
      <c r="B18" s="11">
        <f>H17</f>
        <v/>
      </c>
      <c r="C18" s="11" t="n">
        <v>0</v>
      </c>
      <c r="D18" s="11">
        <f>B18+C18</f>
        <v/>
      </c>
      <c r="E18" s="11" t="n">
        <v>0</v>
      </c>
      <c r="F18" s="12">
        <f>ROUND(MIN(D18, E18), 2)</f>
        <v/>
      </c>
      <c r="G18" s="11">
        <f>MAX(0, E18-F18)</f>
        <v/>
      </c>
      <c r="H18" s="13">
        <f>D18-F18</f>
        <v/>
      </c>
    </row>
    <row r="19" ht="22" customHeight="1">
      <c r="A19" s="10" t="n">
        <v>2023</v>
      </c>
      <c r="B19" s="14">
        <f>H18</f>
        <v/>
      </c>
      <c r="C19" s="14" t="n">
        <v>0</v>
      </c>
      <c r="D19" s="14">
        <f>B19+C19</f>
        <v/>
      </c>
      <c r="E19" s="11" t="n">
        <v>0</v>
      </c>
      <c r="F19" s="12">
        <f>ROUND(MIN(D19, E19), 2)</f>
        <v/>
      </c>
      <c r="G19" s="14">
        <f>MAX(0, E19-F19)</f>
        <v/>
      </c>
      <c r="H19" s="13">
        <f>D19-F19</f>
        <v/>
      </c>
    </row>
    <row r="20" ht="22" customHeight="1">
      <c r="A20" s="10" t="n">
        <v>2024</v>
      </c>
      <c r="B20" s="11">
        <f>H19</f>
        <v/>
      </c>
      <c r="C20" s="11" t="n">
        <v>0</v>
      </c>
      <c r="D20" s="11">
        <f>B20+C20</f>
        <v/>
      </c>
      <c r="E20" s="11" t="n">
        <v>0</v>
      </c>
      <c r="F20" s="12">
        <f>ROUND(MIN(D20, E20), 2)</f>
        <v/>
      </c>
      <c r="G20" s="11">
        <f>MAX(0, E20-F20)</f>
        <v/>
      </c>
      <c r="H20" s="13">
        <f>D20-F20</f>
        <v/>
      </c>
    </row>
    <row r="21" ht="22" customHeight="1">
      <c r="A21" s="10" t="n">
        <v>2025</v>
      </c>
      <c r="B21" s="14">
        <f>H20</f>
        <v/>
      </c>
      <c r="C21" s="14" t="n">
        <v>0</v>
      </c>
      <c r="D21" s="14">
        <f>B21+C21</f>
        <v/>
      </c>
      <c r="E21" s="11" t="n">
        <v>0</v>
      </c>
      <c r="F21" s="12">
        <f>ROUND(MIN(D21, E21), 2)</f>
        <v/>
      </c>
      <c r="G21" s="14">
        <f>MAX(0, E21-F21)</f>
        <v/>
      </c>
      <c r="H21" s="13">
        <f>D21-F21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2026-06-29T23:33:41Z</dcterms:created>
  <dcterms:modified xmlns:dcterms="http://purl.org/dc/terms/" xmlns:xsi="http://www.w3.org/2001/XMLSchema-instance" xsi:type="dcterms:W3CDTF">2026-06-29T23:33:41Z</dcterms:modified>
</cp:coreProperties>
</file>